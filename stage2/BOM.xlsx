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f1d09ab89d7969/Desktop/UCLA_EXTERNAL/Job_Search_W26/paradromics_task/stage2/"/>
    </mc:Choice>
  </mc:AlternateContent>
  <xr:revisionPtr revIDLastSave="145" documentId="11_F25DC773A252ABDACC1048CFA99E49005ADE58EC" xr6:coauthVersionLast="47" xr6:coauthVersionMax="47" xr10:uidLastSave="{FB0A5B18-0A0E-4C3C-8B62-7FA95E9A2011}"/>
  <bookViews>
    <workbookView xWindow="28680" yWindow="-58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4" i="1"/>
  <c r="B9" i="1"/>
  <c r="B13" i="1" s="1"/>
</calcChain>
</file>

<file path=xl/sharedStrings.xml><?xml version="1.0" encoding="utf-8"?>
<sst xmlns="http://schemas.openxmlformats.org/spreadsheetml/2006/main" count="43" uniqueCount="43">
  <si>
    <t>Link</t>
  </si>
  <si>
    <t>RTL-SDR Blog V4</t>
  </si>
  <si>
    <t>Cost (before tax)</t>
  </si>
  <si>
    <t>https://www.amazon.com/RTL-SDR-Blog-RTL2832U-Software-Defined/dp/B0CD7558GT/ref=sr_1_1?crid=20YPFG9GMD591&amp;dib=eyJ2IjoiMSJ9.GuYuHJvOLZDjwgWWVPkZbfQkrGLPTiDvnwYXjGpygAlOxOeCmB2eNrf8xxup3FE9hpaYoLO1XM5UiddeJ0MvhfwXQ2fxAJGVpOWQRcNyYgzhpgvHX3a_8C4vz64RWldyVmKB95r0oAdfjj8XiQTfBwyYBY1XbdEq-jL3zedwjhR4lLGsvyj1MSyTXF1YQSdeZzm9gTMik7KAE6_QZM5KLTw4J01WkpHingBPl-xWfFs.Ide9V9lc-Bw-D3lgHN2-8_o8a_TFWaoBgPgKm-tATr4&amp;dib_tag=se&amp;keywords=RTL-SDR+Blog+V4+receiver+with+antenna+kit&amp;qid=1772309529&amp;sprefix=rtl-sdr+blog+v4+receiver+with+antenna+kit%2Caps%2C198&amp;sr=8-1</t>
  </si>
  <si>
    <t>Purpose</t>
  </si>
  <si>
    <t>Kit incluiding antenna and software defined radio SMA  dongle</t>
  </si>
  <si>
    <t>Rapberry Pi 5 4GB</t>
  </si>
  <si>
    <t>https://www.dfrobot.com/product-2749.html?srsltid=AfmBOoqwP__l2QfvWE9Q-itEnzknkw2VgU5XhFnhcaV_xe9NC3UarJM6bKs</t>
  </si>
  <si>
    <t>Main computer used to complete task</t>
  </si>
  <si>
    <t xml:space="preserve">Sandisk 32GB </t>
  </si>
  <si>
    <t>Total</t>
  </si>
  <si>
    <t>https://www.digikey.com/en/products/detail/raspberry-pi/SC1158/21658259?gclsrc=aw.ds&amp;gad_source=1&amp;gad_campaignid=20232005509&amp;gbraid=0AAAAADrbLlgZeGZYzCfijIy3v1IZYaIpy&amp;gclid=Cj0KCQiAwYrNBhDcARIsAGo3u306WMsdQpmtyq4PIspiarb2oPjEgL-gNyt_gbjEK4Rz519vUoPlShcaAiqQEALw_wcB</t>
  </si>
  <si>
    <t>Name/Part #</t>
  </si>
  <si>
    <t>SC1158</t>
  </si>
  <si>
    <t>Power supply for the pi</t>
  </si>
  <si>
    <t>Memory for the pi</t>
  </si>
  <si>
    <t>Logitech S150</t>
  </si>
  <si>
    <t>https://www.amazon.com/Logitech-S150-Speakers-Digital-Sound/dp/B000ZH98LU/ref=sr_1_1?crid=QM5DHM17Z1UB&amp;dib=eyJ2IjoiMSJ9.WvP6mQOSk6iYWTBh2xwgVdycYMKJtNeAetUDjHe51R6VecuCFIIwSViia5LYbLVY-L9M2DhHXeynxtFUYR14_LFFb7sFSt5kDf6fvU2jNZh0O2XOgZBmAnD2mn_9siBHvdyZhES3f6okcZTgNEzZ38dAeAsOzEGhHRmKKfZ7aJVNvdMQip3dh324KoqkeKfvY1jQNgoYYQVt_gvpqF9I7m-_tdMTGYUbo6iJtsgMO_U.o3kKnk95kutu36YRlzo6BW7-o18UR5SAGjCGquy0kYc&amp;dib_tag=se&amp;keywords=Logitech%2BS150&amp;qid=1772312821&amp;sprefix=logitech%2Bs150%2Caps%2C217&amp;sr=8-1&amp;th=1</t>
  </si>
  <si>
    <t>Inexpensive USB powered and controlled speakers for audio output</t>
  </si>
  <si>
    <t>https://www.dfrobot.com/product-2797.html</t>
  </si>
  <si>
    <t>Cooling fan for the pi</t>
  </si>
  <si>
    <t>FIT0980</t>
  </si>
  <si>
    <t>https://www.digikey.com/en/products/detail/e-switch/PS1023ABLK/82862</t>
  </si>
  <si>
    <t>PS1023ABLK</t>
  </si>
  <si>
    <t>Number</t>
  </si>
  <si>
    <t>https://www.digikey.com/en/products/detail/adam-tech/SW-T2-2E-A-A2-M1/15284450</t>
  </si>
  <si>
    <t>Switch to toggle between audio output streams</t>
  </si>
  <si>
    <t>SW-T2-2E-A-A2-M1</t>
  </si>
  <si>
    <t>https://www.digikey.com/en/products/detail/bourns-inc/PEC11R-4220F-S0024/4499660</t>
  </si>
  <si>
    <t>PEC11R-4220F-S0024</t>
  </si>
  <si>
    <t>https://www.digikey.com/en/products/detail/sunfounder/CN0295D/18668612?gclsrc=aw.ds&amp;gad_source=1&amp;gad_campaignid=20228387720&amp;gbraid=0AAAAADrbLlgsALhgxnN0wTk7bKaE7hS52&amp;gclid=Cj0KCQiAwYrNBhDcARIsAGo3u33GWYfGmkpeiuj6co2SN3WOnBUu6W2KQs-WBmecmdIWG5wsMN4TqcUaAgGCEALw_wcB</t>
  </si>
  <si>
    <t>CN0295D</t>
  </si>
  <si>
    <t>Old school display used to show the current radio channel</t>
  </si>
  <si>
    <t>https://www.amazon.com/HUAREW-Breadboard-Jumper-Include-Points/dp/B09VKYLYN7/ref=sr_1_2_sspa?crid=XT64QCXAPUHO&amp;dib=eyJ2IjoiMSJ9.kTBX_MFH0Q5hRDeFIX3ZNRI0ST5RJmQPZzUh2BjJaG_wmG48eNxy-5mXfuw6CduK-cj7zaZwxV_Taxpozh299JpJCbIng8utoHkHwz7NS8ZBpMgabiOrbpfWZD6nmynoQ3hyY9vZaoUeYFSYeq09hOrCR6PvoH1X7i4llBAEoF1yzJ5joPObm88LVp1ZfBMemQsKJx7lQdC-rBBMyjJN0-OL_3eg5XaSwShnXk_n-Tk.xdq_0aqb0x6A3L7hedCtjD6i-xtLW5BfZc6F-Z0HvtI&amp;dib_tag=se&amp;keywords=breadboard+and+jumper+wires&amp;qid=1772315314&amp;refinements=p_36%3A-1000&amp;rnid=2661611011&amp;sprefix=breadboard+and+jumperwires%2Caps%2C176&amp;sr=8-2-spons&amp;sp_csd=d2lkZ2V0TmFtZT1zcF9hdGY&amp;psc=1</t>
  </si>
  <si>
    <t>Breadboard and jumper wire kit for assembly</t>
  </si>
  <si>
    <t>Breadboard and Jumper Wires Kit</t>
  </si>
  <si>
    <t>Buttons for up and down seek on radio as well as easy power on/off</t>
  </si>
  <si>
    <t>Rotary encoder used for volume control</t>
  </si>
  <si>
    <t>https://www.amazon.com/SanDisk-Extreme-Mobile-Gaming-microSD/dp/B089M5KV4Y/ref=sr_1_3?crid=3R1WK6N9WW0VK&amp;dib=eyJ2IjoiMSJ9.Xd7BIGn0DHO5sGhRBRe5U8JqtlX4pu0SGoM0VVhiZKEP_KsvBkdE_-1iDZVITiiRGwdr7AKM9_lxSQf9HhUVv66NiJ5oTQGiVUcGcgRBjNjXeVkDD9RdZtdCRT-Es0H17OSQGR6fh3JIq9EeBHbmpanS6-LBcb1y7FudGFMdJqAEtGpBtja_RXhPr8i9QGAMr815-9vFU7jbMNyt0OU8w14hv1NT-0DPKhnVsBm0Los.wA-o8hePZsgFLYo93pYNn-MmpDoZQyWKbFyHr392kCA&amp;dib_tag=se&amp;keywords=sandisk+32GB+a2&amp;qid=1772311677&amp;sprefix=sandisk+32gb+a%2Caps%2C224&amp;sr=8-3</t>
  </si>
  <si>
    <t>Expected Total w/ Tax</t>
  </si>
  <si>
    <t>Amaozn</t>
  </si>
  <si>
    <t>DFRobot</t>
  </si>
  <si>
    <t>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</si>
</sst>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RTL-SDR-Blog-RTL2832U-Software-Defined/dp/B0CD7558GT/ref=sr_1_1?crid=20YPFG9GMD591&amp;dib=eyJ2IjoiMSJ9.GuYuHJvOLZDjwgWWVPkZbfQkrGLPTiDvnwYXjGpygAlOxOeCmB2eNrf8xxup3FE9hpaYoLO1XM5UiddeJ0MvhfwXQ2fxAJGVpOWQRcNyYgzhpgvHX3a_8C4vz64RWldyVmKB95r0oAdfjj8XiQTfBwyYBY1XbdEq-jL3zedwjhR4lLGsvyj1MSyTXF1YQSdeZzm9gTMik7KAE6_QZM5KLTw4J01WkpHingBPl-xWfFs.Ide9V9lc-Bw-D3lgHN2-8_o8a_TFWaoBgPgKm-tATr4&amp;dib_tag=se&amp;keywords=RTL-SDR+Blog+V4+receiver+with+antenna+kit&amp;qid=1772309529&amp;sprefix=rtl-sdr+blog+v4+receiver+with+antenna+kit%2Caps%2C198&amp;sr=8-1" TargetMode="External"/><Relationship Id="rId2" Type="http://schemas.openxmlformats.org/officeDocument/2006/relationships/hyperlink" Target="https://www.amazon.com/SanDisk-Extreme-Mobile-Gaming-microSD/dp/B089M5KV4Y/ref=sr_1_3?crid=3R1WK6N9WW0VK&amp;dib=eyJ2IjoiMSJ9.Xd7BIGn0DHO5sGhRBRe5U8JqtlX4pu0SGoM0VVhiZKEP_KsvBkdE_-1iDZVITiiRGwdr7AKM9_lxSQf9HhUVv66NiJ5oTQGiVUcGcgRBjNjXeVkDD9RdZtdCRT-Es0H17OSQGR6fh3JIq9EeBHbmpanS6-LBcb1y7FudGFMdJqAEtGpBtja_RXhPr8i9QGAMr815-9vFU7jbMNyt0OU8w14hv1NT-0DPKhnVsBm0Los.wA-o8hePZsgFLYo93pYNn-MmpDoZQyWKbFyHr392kCA&amp;dib_tag=se&amp;keywords=sandisk+32GB+a2&amp;qid=1772311677&amp;sprefix=sandisk+32gb+a%2Caps%2C224&amp;sr=8-3" TargetMode="External"/><Relationship Id="rId1" Type="http://schemas.openxmlformats.org/officeDocument/2006/relationships/hyperlink" Target="https://www.dfrobot.com/product-2749.html?srsltid=AfmBOoqwP__l2QfvWE9Q-itEnzknkw2VgU5XhFnhcaV_xe9NC3UarJM6bK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8" sqref="F18"/>
    </sheetView>
  </sheetViews>
  <sheetFormatPr defaultRowHeight="14.5" x14ac:dyDescent="0.35"/>
  <cols>
    <col min="1" max="1" width="19.7265625" customWidth="1"/>
    <col min="2" max="2" width="15.26953125" bestFit="1" customWidth="1"/>
    <col min="3" max="3" width="45.7265625" customWidth="1"/>
  </cols>
  <sheetData>
    <row r="1" spans="1:7" x14ac:dyDescent="0.35">
      <c r="A1" t="s">
        <v>12</v>
      </c>
      <c r="B1" t="s">
        <v>2</v>
      </c>
      <c r="C1" t="s">
        <v>0</v>
      </c>
      <c r="D1" t="s">
        <v>24</v>
      </c>
      <c r="E1" t="s">
        <v>4</v>
      </c>
    </row>
    <row r="2" spans="1:7" x14ac:dyDescent="0.35">
      <c r="A2" s="3" t="s">
        <v>1</v>
      </c>
      <c r="B2">
        <v>49.95</v>
      </c>
      <c r="C2" s="1" t="s">
        <v>3</v>
      </c>
      <c r="D2">
        <v>1</v>
      </c>
      <c r="E2" t="s">
        <v>5</v>
      </c>
    </row>
    <row r="3" spans="1:7" x14ac:dyDescent="0.35">
      <c r="A3" s="3" t="s">
        <v>6</v>
      </c>
      <c r="B3">
        <v>79</v>
      </c>
      <c r="C3" s="1" t="s">
        <v>7</v>
      </c>
      <c r="D3">
        <v>1</v>
      </c>
      <c r="E3" t="s">
        <v>8</v>
      </c>
    </row>
    <row r="4" spans="1:7" x14ac:dyDescent="0.35">
      <c r="A4" s="3" t="s">
        <v>9</v>
      </c>
      <c r="B4">
        <v>24.49</v>
      </c>
      <c r="C4" s="1" t="s">
        <v>38</v>
      </c>
      <c r="D4">
        <v>1</v>
      </c>
      <c r="E4" t="s">
        <v>15</v>
      </c>
    </row>
    <row r="5" spans="1:7" x14ac:dyDescent="0.35">
      <c r="A5" s="3" t="s">
        <v>16</v>
      </c>
      <c r="B5">
        <v>15.93</v>
      </c>
      <c r="C5" t="s">
        <v>17</v>
      </c>
      <c r="D5">
        <v>1</v>
      </c>
      <c r="E5" t="s">
        <v>18</v>
      </c>
    </row>
    <row r="6" spans="1:7" x14ac:dyDescent="0.35">
      <c r="A6" s="4" t="s">
        <v>35</v>
      </c>
      <c r="B6" s="4">
        <v>9.99</v>
      </c>
      <c r="C6" s="4" t="s">
        <v>33</v>
      </c>
      <c r="D6" s="4">
        <v>1</v>
      </c>
      <c r="E6" s="4" t="s">
        <v>34</v>
      </c>
      <c r="F6" s="4"/>
      <c r="G6" s="4"/>
    </row>
    <row r="7" spans="1:7" x14ac:dyDescent="0.35">
      <c r="A7" s="3" t="s">
        <v>21</v>
      </c>
      <c r="B7">
        <v>4.5</v>
      </c>
      <c r="C7" t="s">
        <v>19</v>
      </c>
      <c r="D7">
        <v>1</v>
      </c>
      <c r="E7" t="s">
        <v>20</v>
      </c>
    </row>
    <row r="8" spans="1:7" x14ac:dyDescent="0.35">
      <c r="A8" s="3" t="s">
        <v>13</v>
      </c>
      <c r="B8">
        <v>12</v>
      </c>
      <c r="C8" t="s">
        <v>11</v>
      </c>
      <c r="D8">
        <v>1</v>
      </c>
      <c r="E8" t="s">
        <v>14</v>
      </c>
    </row>
    <row r="9" spans="1:7" x14ac:dyDescent="0.35">
      <c r="A9" s="3" t="s">
        <v>23</v>
      </c>
      <c r="B9">
        <f>2.12*3</f>
        <v>6.36</v>
      </c>
      <c r="C9" t="s">
        <v>22</v>
      </c>
      <c r="D9">
        <v>3</v>
      </c>
      <c r="E9" t="s">
        <v>36</v>
      </c>
    </row>
    <row r="10" spans="1:7" x14ac:dyDescent="0.35">
      <c r="A10" s="3" t="s">
        <v>27</v>
      </c>
      <c r="B10">
        <v>1.26</v>
      </c>
      <c r="C10" t="s">
        <v>25</v>
      </c>
      <c r="D10">
        <v>1</v>
      </c>
      <c r="E10" t="s">
        <v>26</v>
      </c>
    </row>
    <row r="11" spans="1:7" x14ac:dyDescent="0.35">
      <c r="A11" s="3" t="s">
        <v>29</v>
      </c>
      <c r="B11">
        <v>2.2000000000000002</v>
      </c>
      <c r="C11" t="s">
        <v>28</v>
      </c>
      <c r="D11">
        <v>1</v>
      </c>
      <c r="E11" t="s">
        <v>37</v>
      </c>
    </row>
    <row r="12" spans="1:7" x14ac:dyDescent="0.35">
      <c r="A12" s="3" t="s">
        <v>31</v>
      </c>
      <c r="B12">
        <v>8.9499999999999993</v>
      </c>
      <c r="C12" t="s">
        <v>30</v>
      </c>
      <c r="D12">
        <v>1</v>
      </c>
      <c r="E12" t="s">
        <v>32</v>
      </c>
    </row>
    <row r="13" spans="1:7" x14ac:dyDescent="0.35">
      <c r="A13" s="2" t="s">
        <v>10</v>
      </c>
      <c r="B13" s="2">
        <f>SUM(B2:B12)</f>
        <v>214.63</v>
      </c>
    </row>
    <row r="14" spans="1:7" x14ac:dyDescent="0.35">
      <c r="A14" s="2" t="s">
        <v>39</v>
      </c>
      <c r="B14" s="2">
        <f>ROUND(B13*1.0975,2)</f>
        <v>235.56</v>
      </c>
    </row>
    <row r="18" spans="1:2" x14ac:dyDescent="0.35">
      <c r="A18" t="s">
        <v>40</v>
      </c>
      <c r="B18">
        <f>SUM(B2,B4:B6)</f>
        <v>100.36</v>
      </c>
    </row>
    <row r="19" spans="1:2" x14ac:dyDescent="0.35">
      <c r="A19" t="s">
        <v>41</v>
      </c>
      <c r="B19">
        <f>SUM(B3,B7)</f>
        <v>83.5</v>
      </c>
    </row>
    <row r="20" spans="1:2" x14ac:dyDescent="0.35">
      <c r="A20" t="s">
        <v>42</v>
      </c>
    </row>
  </sheetData>
  <hyperlinks>
    <hyperlink ref="C3" r:id="rId1" xr:uid="{B48D7209-DAC3-43AC-8EC4-2C2B01F2A12A}"/>
    <hyperlink ref="C4" r:id="rId2" display="https://www.amazon.com/SanDisk-Extreme-Mobile-Gaming-microSD/dp/B089M5KV4Y/ref=sr_1_3?crid=3R1WK6N9WW0VK&amp;dib=eyJ2IjoiMSJ9.Xd7BIGn0DHO5sGhRBRe5U8JqtlX4pu0SGoM0VVhiZKEP_KsvBkdE_-1iDZVITiiRGwdr7AKM9_lxSQf9HhUVv66NiJ5oTQGiVUcGcgRBjNjXeVkDD9RdZtdCRT-Es0H17OSQGR6fh3JIq9EeBHbmpanS6-LBcb1y7FudGFMdJqAEtGpBtja_RXhPr8i9QGAMr815-9vFU7jbMNyt0OU8w14hv1NT-0DPKhnVsBm0Los.wA-o8hePZsgFLYo93pYNn-MmpDoZQyWKbFyHr392kCA&amp;dib_tag=se&amp;keywords=sandisk+32GB+a2&amp;qid=1772311677&amp;sprefix=sandisk+32gb+a%2Caps%2C224&amp;sr=8-3" xr:uid="{4E44AD6B-270C-43EB-9927-C6259517D004}"/>
    <hyperlink ref="C2" r:id="rId3" display="https://www.amazon.com/RTL-SDR-Blog-RTL2832U-Software-Defined/dp/B0CD7558GT/ref=sr_1_1?crid=20YPFG9GMD591&amp;dib=eyJ2IjoiMSJ9.GuYuHJvOLZDjwgWWVPkZbfQkrGLPTiDvnwYXjGpygAlOxOeCmB2eNrf8xxup3FE9hpaYoLO1XM5UiddeJ0MvhfwXQ2fxAJGVpOWQRcNyYgzhpgvHX3a_8C4vz64RWldyVmKB95r0oAdfjj8XiQTfBwyYBY1XbdEq-jL3zedwjhR4lLGsvyj1MSyTXF1YQSdeZzm9gTMik7KAE6_QZM5KLTw4J01WkpHingBPl-xWfFs.Ide9V9lc-Bw-D3lgHN2-8_o8a_TFWaoBgPgKm-tATr4&amp;dib_tag=se&amp;keywords=RTL-SDR+Blog+V4+receiver+with+antenna+kit&amp;qid=1772309529&amp;sprefix=rtl-sdr+blog+v4+receiver+with+antenna+kit%2Caps%2C198&amp;sr=8-1" xr:uid="{C611C036-358F-46B9-9C56-0BC2590F0BB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Cornelious</dc:creator>
  <cp:lastModifiedBy>Rhys Cornelious</cp:lastModifiedBy>
  <dcterms:created xsi:type="dcterms:W3CDTF">2015-06-05T18:17:20Z</dcterms:created>
  <dcterms:modified xsi:type="dcterms:W3CDTF">2026-03-02T21:11:57Z</dcterms:modified>
</cp:coreProperties>
</file>